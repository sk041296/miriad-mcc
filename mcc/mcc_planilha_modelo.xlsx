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<sst xmlns="http://schemas.openxmlformats.org/spreadsheetml/2006/main" count="75" uniqueCount="69">
  <si>
    <t xml:space="preserve">MIRIAD ENGENHARIA — PLANILHA ORÇAMENTÁRIA (MODELO PADRÃO PARA IMPORTAÇÃO NO MCC)</t>
  </si>
  <si>
    <t xml:space="preserve">OBRA:</t>
  </si>
  <si>
    <t xml:space="preserve">(nome da obra)</t>
  </si>
  <si>
    <t xml:space="preserve">BDI (%) →</t>
  </si>
  <si>
    <t xml:space="preserve">◄ informe o BDI aqui (afeta as colunas C/BDI)</t>
  </si>
  <si>
    <t xml:space="preserve">CONTRATANTE:</t>
  </si>
  <si>
    <t xml:space="preserve">(órgão / cliente)</t>
  </si>
  <si>
    <t xml:space="preserve">LOCAL:</t>
  </si>
  <si>
    <t xml:space="preserve">(município / endereço)</t>
  </si>
  <si>
    <t xml:space="preserve">CONTRATO / Nº:</t>
  </si>
  <si>
    <t xml:space="preserve">(nº do contrato)</t>
  </si>
  <si>
    <t xml:space="preserve">ITEM</t>
  </si>
  <si>
    <t xml:space="preserve">CÓDIGO DO SERVIÇO</t>
  </si>
  <si>
    <t xml:space="preserve">DESCRIÇÃO DO SERVIÇO</t>
  </si>
  <si>
    <t xml:space="preserve">UNIDADE</t>
  </si>
  <si>
    <t xml:space="preserve">QUANTIDADE</t>
  </si>
  <si>
    <t xml:space="preserve">CUSTO UNITÁRIO (S/BDI)</t>
  </si>
  <si>
    <t xml:space="preserve">CUSTO TOTAL (S/BDI)</t>
  </si>
  <si>
    <t xml:space="preserve">SUBTOTAL S/BDI</t>
  </si>
  <si>
    <t xml:space="preserve">CUSTO TOTAL C/BDI</t>
  </si>
  <si>
    <t xml:space="preserve">MATERIAL</t>
  </si>
  <si>
    <t xml:space="preserve">MÃO DE OBRA</t>
  </si>
  <si>
    <t xml:space="preserve">CUSTO UNIT.</t>
  </si>
  <si>
    <t xml:space="preserve">CUSTO TOTAL</t>
  </si>
  <si>
    <t xml:space="preserve">1</t>
  </si>
  <si>
    <t xml:space="preserve">ADMINISTRAÇÃO LOCAL</t>
  </si>
  <si>
    <t xml:space="preserve">1.1</t>
  </si>
  <si>
    <t xml:space="preserve">COMP 001</t>
  </si>
  <si>
    <t xml:space="preserve">Administração local de obra - engenheiro júnior e mestre de obras</t>
  </si>
  <si>
    <t xml:space="preserve">%</t>
  </si>
  <si>
    <t xml:space="preserve">2</t>
  </si>
  <si>
    <t xml:space="preserve">SERVIÇOS PRELIMINARES</t>
  </si>
  <si>
    <t xml:space="preserve">2.1</t>
  </si>
  <si>
    <t xml:space="preserve">103689</t>
  </si>
  <si>
    <t xml:space="preserve">Fornecimento e instalação de placa de obra com chapa galvanizada</t>
  </si>
  <si>
    <t xml:space="preserve">M2</t>
  </si>
  <si>
    <t xml:space="preserve">3</t>
  </si>
  <si>
    <t xml:space="preserve">CASA 4 - RECUPERAÇÃO</t>
  </si>
  <si>
    <t xml:space="preserve">3.1</t>
  </si>
  <si>
    <t xml:space="preserve">104789</t>
  </si>
  <si>
    <t xml:space="preserve">Demolição de piso de concreto simples, de forma manual, sem corte</t>
  </si>
  <si>
    <t xml:space="preserve">M3</t>
  </si>
  <si>
    <t xml:space="preserve">3.2</t>
  </si>
  <si>
    <t xml:space="preserve">97625</t>
  </si>
  <si>
    <t xml:space="preserve">Demolição de alvenaria para qualquer tipo de bloco, de forma mecanizada</t>
  </si>
  <si>
    <t xml:space="preserve">3.3</t>
  </si>
  <si>
    <t xml:space="preserve">105035</t>
  </si>
  <si>
    <t xml:space="preserve">Verga pré-fabricada com até 1,5 m de vão, esp. *20* cm</t>
  </si>
  <si>
    <t xml:space="preserve">M</t>
  </si>
  <si>
    <t xml:space="preserve">3.4</t>
  </si>
  <si>
    <t xml:space="preserve">103319</t>
  </si>
  <si>
    <t xml:space="preserve">Alvenaria de vedação de blocos vazados de concreto 14x19x39 cm, esp. 14 cm</t>
  </si>
  <si>
    <t xml:space="preserve">4</t>
  </si>
  <si>
    <t xml:space="preserve">REPARO NO REBOCO / PINTURA INTERNA E EXTERNA</t>
  </si>
  <si>
    <t xml:space="preserve">4.1</t>
  </si>
  <si>
    <t xml:space="preserve">97631</t>
  </si>
  <si>
    <t xml:space="preserve">Demolição de argamassas, de forma manual, sem reaproveitamento</t>
  </si>
  <si>
    <t xml:space="preserve">4.2</t>
  </si>
  <si>
    <t xml:space="preserve">87530</t>
  </si>
  <si>
    <t xml:space="preserve">Massa única, em argamassa traço 1:2:8, preparo manual, paredes internas</t>
  </si>
  <si>
    <t xml:space="preserve">VALOR TOTAL</t>
  </si>
  <si>
    <t xml:space="preserve">COMO PREENCHER ESTA PLANILHA (modelo padrão de importação do MCC):</t>
  </si>
  <si>
    <t xml:space="preserve">1. Informe o BDI na célula amarela J2 (ex.: 28,43% → digite 28,43%). Ele é aplicado automaticamente na coluna 'CUSTO TOTAL C/BDI'.</t>
  </si>
  <si>
    <t xml:space="preserve">2. Linhas de GRUPO: preencha ITEM (1, 2, 3…) e DESCRIÇÃO; deixe unidade/quantidade/custos em branco (fundo amarelo claro).</t>
  </si>
  <si>
    <t xml:space="preserve">3. Linhas de ITEM analítico: preencha ITEM (1.1, 3.2…), CÓDIGO, DESCRIÇÃO, UNIDADE, QUANTIDADE, e os custos unitários de MATERIAL e MÃO DE OBRA (azul).</t>
  </si>
  <si>
    <t xml:space="preserve">4. As colunas CUSTO UNIT., CUSTO TOTAL, SUBTOTAL S/BDI e CUSTO TOTAL C/BDI são calculadas por fórmula — não edite.</t>
  </si>
  <si>
    <t xml:space="preserve">5. Não altere a posição das colunas (A a M) nem os títulos do cabeçalho. O MCC lê as colunas por posição.</t>
  </si>
  <si>
    <t xml:space="preserve">6. O MCC importa apenas as linhas de ITEM analítico (com unidade, quantidade e valor). Grupos servem só de organização.</t>
  </si>
  <si>
    <t xml:space="preserve">7. O valor à faturar de cada item = CUSTO TOTAL C/BDI. O custo de meta usa o CUSTO TOTAL S/BDI.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</si>
</sst>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.00"/>
    <numFmt numFmtId="167" formatCode="#,##0.00;[RED]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C21000"/>
      <name val="Arial"/>
      <family val="0"/>
      <charset val="1"/>
    </font>
    <font>
      <sz val="9"/>
      <color rgb="FF33333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7335"/>
        <bgColor rgb="FFFF8080"/>
      </patternFill>
    </fill>
    <fill>
      <patternFill patternType="solid">
        <fgColor rgb="FFFFE680"/>
        <bgColor rgb="FFFFCC99"/>
      </patternFill>
    </fill>
    <fill>
      <patternFill patternType="solid">
        <fgColor rgb="FF1A1A1A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8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37335"/>
      <rgbColor rgb="FF555555"/>
      <rgbColor rgb="FF969696"/>
      <rgbColor rgb="FF003366"/>
      <rgbColor rgb="FF339966"/>
      <rgbColor rgb="FF003300"/>
      <rgbColor rgb="FF1A1A1A"/>
      <rgbColor rgb="FFC21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8" min="5" style="0" width="12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  <c r="E2" s="3"/>
      <c r="H2" s="4" t="s">
        <v>3</v>
      </c>
      <c r="I2" s="4"/>
      <c r="J2" s="5" t="n">
        <v>0.2843</v>
      </c>
      <c r="K2" s="6" t="s">
        <v>4</v>
      </c>
      <c r="L2" s="6"/>
      <c r="M2" s="6"/>
    </row>
    <row r="3" customFormat="false" ht="15" hidden="false" customHeight="false" outlineLevel="0" collapsed="false">
      <c r="A3" s="2" t="s">
        <v>5</v>
      </c>
      <c r="B3" s="3" t="s">
        <v>6</v>
      </c>
      <c r="C3" s="3"/>
      <c r="D3" s="3"/>
      <c r="E3" s="3"/>
    </row>
    <row r="4" customFormat="false" ht="15" hidden="false" customHeight="false" outlineLevel="0" collapsed="false">
      <c r="A4" s="2" t="s">
        <v>7</v>
      </c>
      <c r="B4" s="3" t="s">
        <v>8</v>
      </c>
      <c r="C4" s="3"/>
      <c r="D4" s="3"/>
      <c r="E4" s="3"/>
    </row>
    <row r="5" customFormat="false" ht="15" hidden="false" customHeight="false" outlineLevel="0" collapsed="false">
      <c r="A5" s="2" t="s">
        <v>9</v>
      </c>
      <c r="B5" s="3" t="s">
        <v>10</v>
      </c>
      <c r="C5" s="3"/>
      <c r="D5" s="3"/>
      <c r="E5" s="3"/>
    </row>
    <row r="7" customFormat="false" ht="30" hidden="false" customHeight="true" outlineLevel="0" collapsed="false">
      <c r="A7" s="7" t="s">
        <v>11</v>
      </c>
      <c r="B7" s="7" t="s">
        <v>12</v>
      </c>
      <c r="C7" s="7" t="s">
        <v>13</v>
      </c>
      <c r="D7" s="7" t="s">
        <v>14</v>
      </c>
      <c r="E7" s="7" t="s">
        <v>15</v>
      </c>
      <c r="F7" s="8" t="s">
        <v>16</v>
      </c>
      <c r="G7" s="8"/>
      <c r="H7" s="8"/>
      <c r="I7" s="8" t="s">
        <v>17</v>
      </c>
      <c r="J7" s="8"/>
      <c r="K7" s="8"/>
      <c r="L7" s="7" t="s">
        <v>18</v>
      </c>
      <c r="M7" s="7" t="s">
        <v>19</v>
      </c>
    </row>
    <row r="8" customFormat="false" ht="21.75" hidden="false" customHeight="true" outlineLevel="0" collapsed="false">
      <c r="A8" s="7"/>
      <c r="B8" s="7"/>
      <c r="C8" s="7"/>
      <c r="D8" s="7"/>
      <c r="E8" s="7"/>
      <c r="F8" s="9" t="s">
        <v>20</v>
      </c>
      <c r="G8" s="9" t="s">
        <v>21</v>
      </c>
      <c r="H8" s="9" t="s">
        <v>22</v>
      </c>
      <c r="I8" s="9" t="s">
        <v>20</v>
      </c>
      <c r="J8" s="9" t="s">
        <v>21</v>
      </c>
      <c r="K8" s="9" t="s">
        <v>23</v>
      </c>
      <c r="L8" s="7"/>
      <c r="M8" s="7"/>
    </row>
    <row r="9" customFormat="false" ht="19.5" hidden="false" customHeight="true" outlineLevel="0" collapsed="false">
      <c r="A9" s="10" t="s">
        <v>24</v>
      </c>
      <c r="B9" s="11"/>
      <c r="C9" s="12" t="s">
        <v>25</v>
      </c>
      <c r="D9" s="13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27.75" hidden="false" customHeight="true" outlineLevel="0" collapsed="false">
      <c r="A10" s="14" t="s">
        <v>26</v>
      </c>
      <c r="B10" s="14" t="s">
        <v>27</v>
      </c>
      <c r="C10" s="15" t="s">
        <v>28</v>
      </c>
      <c r="D10" s="14" t="s">
        <v>29</v>
      </c>
      <c r="E10" s="16" t="n">
        <v>100</v>
      </c>
      <c r="F10" s="17" t="n">
        <v>5</v>
      </c>
      <c r="G10" s="17" t="n">
        <v>152.74</v>
      </c>
      <c r="H10" s="18" t="n">
        <f aca="false">F10+G10</f>
        <v>157.74</v>
      </c>
      <c r="I10" s="18" t="n">
        <f aca="false">E10*F10</f>
        <v>500</v>
      </c>
      <c r="J10" s="18" t="n">
        <f aca="false">E10*G10</f>
        <v>15274</v>
      </c>
      <c r="K10" s="18" t="n">
        <f aca="false">I10+J10</f>
        <v>15774</v>
      </c>
      <c r="L10" s="18" t="n">
        <f aca="false">K10</f>
        <v>15774</v>
      </c>
      <c r="M10" s="18" t="n">
        <f aca="false">L10*(1+$J$2)</f>
        <v>20258.5482</v>
      </c>
    </row>
    <row r="11" customFormat="false" ht="19.5" hidden="false" customHeight="true" outlineLevel="0" collapsed="false">
      <c r="A11" s="10" t="s">
        <v>30</v>
      </c>
      <c r="B11" s="11"/>
      <c r="C11" s="12" t="s">
        <v>31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customFormat="false" ht="27.75" hidden="false" customHeight="true" outlineLevel="0" collapsed="false">
      <c r="A12" s="14" t="s">
        <v>32</v>
      </c>
      <c r="B12" s="14" t="s">
        <v>33</v>
      </c>
      <c r="C12" s="15" t="s">
        <v>34</v>
      </c>
      <c r="D12" s="14" t="s">
        <v>35</v>
      </c>
      <c r="E12" s="16" t="n">
        <v>4.5</v>
      </c>
      <c r="F12" s="17" t="n">
        <v>432.65</v>
      </c>
      <c r="G12" s="17" t="n">
        <v>34.22</v>
      </c>
      <c r="H12" s="18" t="n">
        <f aca="false">F12+G12</f>
        <v>466.87</v>
      </c>
      <c r="I12" s="18" t="n">
        <f aca="false">E12*F12</f>
        <v>1946.925</v>
      </c>
      <c r="J12" s="18" t="n">
        <f aca="false">E12*G12</f>
        <v>153.99</v>
      </c>
      <c r="K12" s="18" t="n">
        <f aca="false">I12+J12</f>
        <v>2100.915</v>
      </c>
      <c r="L12" s="18" t="n">
        <f aca="false">K12</f>
        <v>2100.915</v>
      </c>
      <c r="M12" s="18" t="n">
        <f aca="false">L12*(1+$J$2)</f>
        <v>2698.2051345</v>
      </c>
    </row>
    <row r="13" customFormat="false" ht="19.5" hidden="false" customHeight="true" outlineLevel="0" collapsed="false">
      <c r="A13" s="10" t="s">
        <v>36</v>
      </c>
      <c r="B13" s="11"/>
      <c r="C13" s="12" t="s">
        <v>37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customFormat="false" ht="27.75" hidden="false" customHeight="true" outlineLevel="0" collapsed="false">
      <c r="A14" s="14" t="s">
        <v>38</v>
      </c>
      <c r="B14" s="14" t="s">
        <v>39</v>
      </c>
      <c r="C14" s="15" t="s">
        <v>40</v>
      </c>
      <c r="D14" s="14" t="s">
        <v>41</v>
      </c>
      <c r="E14" s="16" t="n">
        <v>1.02</v>
      </c>
      <c r="F14" s="17" t="n">
        <v>82.58</v>
      </c>
      <c r="G14" s="17" t="n">
        <v>165.68</v>
      </c>
      <c r="H14" s="18" t="n">
        <f aca="false">F14+G14</f>
        <v>248.26</v>
      </c>
      <c r="I14" s="18" t="n">
        <f aca="false">E14*F14</f>
        <v>84.2316</v>
      </c>
      <c r="J14" s="18" t="n">
        <f aca="false">E14*G14</f>
        <v>168.9936</v>
      </c>
      <c r="K14" s="18" t="n">
        <f aca="false">I14+J14</f>
        <v>253.2252</v>
      </c>
      <c r="L14" s="18" t="n">
        <f aca="false">K14</f>
        <v>253.2252</v>
      </c>
      <c r="M14" s="18" t="n">
        <f aca="false">L14*(1+$J$2)</f>
        <v>325.21712436</v>
      </c>
    </row>
    <row r="15" customFormat="false" ht="27.75" hidden="false" customHeight="true" outlineLevel="0" collapsed="false">
      <c r="A15" s="14" t="s">
        <v>42</v>
      </c>
      <c r="B15" s="14" t="s">
        <v>43</v>
      </c>
      <c r="C15" s="15" t="s">
        <v>44</v>
      </c>
      <c r="D15" s="14" t="s">
        <v>41</v>
      </c>
      <c r="E15" s="16" t="n">
        <v>0.2</v>
      </c>
      <c r="F15" s="17" t="n">
        <v>50.5</v>
      </c>
      <c r="G15" s="17" t="n">
        <v>9</v>
      </c>
      <c r="H15" s="18" t="n">
        <f aca="false">F15+G15</f>
        <v>59.5</v>
      </c>
      <c r="I15" s="18" t="n">
        <f aca="false">E15*F15</f>
        <v>10.1</v>
      </c>
      <c r="J15" s="18" t="n">
        <f aca="false">E15*G15</f>
        <v>1.8</v>
      </c>
      <c r="K15" s="18" t="n">
        <f aca="false">I15+J15</f>
        <v>11.9</v>
      </c>
      <c r="L15" s="18" t="n">
        <f aca="false">K15</f>
        <v>11.9</v>
      </c>
      <c r="M15" s="18" t="n">
        <f aca="false">L15*(1+$J$2)</f>
        <v>15.28317</v>
      </c>
    </row>
    <row r="16" customFormat="false" ht="27.75" hidden="false" customHeight="true" outlineLevel="0" collapsed="false">
      <c r="A16" s="14" t="s">
        <v>45</v>
      </c>
      <c r="B16" s="14" t="s">
        <v>46</v>
      </c>
      <c r="C16" s="15" t="s">
        <v>47</v>
      </c>
      <c r="D16" s="14" t="s">
        <v>48</v>
      </c>
      <c r="E16" s="16" t="n">
        <v>1.5</v>
      </c>
      <c r="F16" s="17" t="n">
        <v>34.77</v>
      </c>
      <c r="G16" s="17" t="n">
        <v>38.52</v>
      </c>
      <c r="H16" s="18" t="n">
        <f aca="false">F16+G16</f>
        <v>73.29</v>
      </c>
      <c r="I16" s="18" t="n">
        <f aca="false">E16*F16</f>
        <v>52.155</v>
      </c>
      <c r="J16" s="18" t="n">
        <f aca="false">E16*G16</f>
        <v>57.78</v>
      </c>
      <c r="K16" s="18" t="n">
        <f aca="false">I16+J16</f>
        <v>109.935</v>
      </c>
      <c r="L16" s="18" t="n">
        <f aca="false">K16</f>
        <v>109.935</v>
      </c>
      <c r="M16" s="18" t="n">
        <f aca="false">L16*(1+$J$2)</f>
        <v>141.1895205</v>
      </c>
    </row>
    <row r="17" customFormat="false" ht="27.75" hidden="false" customHeight="true" outlineLevel="0" collapsed="false">
      <c r="A17" s="14" t="s">
        <v>49</v>
      </c>
      <c r="B17" s="14" t="s">
        <v>50</v>
      </c>
      <c r="C17" s="15" t="s">
        <v>51</v>
      </c>
      <c r="D17" s="14" t="s">
        <v>35</v>
      </c>
      <c r="E17" s="16" t="n">
        <v>1</v>
      </c>
      <c r="F17" s="17" t="n">
        <v>65.45</v>
      </c>
      <c r="G17" s="17" t="n">
        <v>35.41</v>
      </c>
      <c r="H17" s="18" t="n">
        <f aca="false">F17+G17</f>
        <v>100.86</v>
      </c>
      <c r="I17" s="18" t="n">
        <f aca="false">E17*F17</f>
        <v>65.45</v>
      </c>
      <c r="J17" s="18" t="n">
        <f aca="false">E17*G17</f>
        <v>35.41</v>
      </c>
      <c r="K17" s="18" t="n">
        <f aca="false">I17+J17</f>
        <v>100.86</v>
      </c>
      <c r="L17" s="18" t="n">
        <f aca="false">K17</f>
        <v>100.86</v>
      </c>
      <c r="M17" s="18" t="n">
        <f aca="false">L17*(1+$J$2)</f>
        <v>129.534498</v>
      </c>
    </row>
    <row r="18" customFormat="false" ht="19.5" hidden="false" customHeight="true" outlineLevel="0" collapsed="false">
      <c r="A18" s="10" t="s">
        <v>52</v>
      </c>
      <c r="B18" s="11"/>
      <c r="C18" s="12" t="s">
        <v>53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customFormat="false" ht="27.75" hidden="false" customHeight="true" outlineLevel="0" collapsed="false">
      <c r="A19" s="14" t="s">
        <v>54</v>
      </c>
      <c r="B19" s="14" t="s">
        <v>55</v>
      </c>
      <c r="C19" s="15" t="s">
        <v>56</v>
      </c>
      <c r="D19" s="14" t="s">
        <v>35</v>
      </c>
      <c r="E19" s="16" t="n">
        <v>180</v>
      </c>
      <c r="F19" s="17" t="n">
        <v>4.63</v>
      </c>
      <c r="G19" s="17" t="n">
        <v>9.59</v>
      </c>
      <c r="H19" s="18" t="n">
        <f aca="false">F19+G19</f>
        <v>14.22</v>
      </c>
      <c r="I19" s="18" t="n">
        <f aca="false">E19*F19</f>
        <v>833.4</v>
      </c>
      <c r="J19" s="18" t="n">
        <f aca="false">E19*G19</f>
        <v>1726.2</v>
      </c>
      <c r="K19" s="18" t="n">
        <f aca="false">I19+J19</f>
        <v>2559.6</v>
      </c>
      <c r="L19" s="18" t="n">
        <f aca="false">K19</f>
        <v>2559.6</v>
      </c>
      <c r="M19" s="18" t="n">
        <f aca="false">L19*(1+$J$2)</f>
        <v>3287.29428</v>
      </c>
    </row>
    <row r="20" customFormat="false" ht="27.75" hidden="false" customHeight="true" outlineLevel="0" collapsed="false">
      <c r="A20" s="14" t="s">
        <v>57</v>
      </c>
      <c r="B20" s="14" t="s">
        <v>58</v>
      </c>
      <c r="C20" s="15" t="s">
        <v>59</v>
      </c>
      <c r="D20" s="14" t="s">
        <v>35</v>
      </c>
      <c r="E20" s="16" t="n">
        <v>180</v>
      </c>
      <c r="F20" s="17" t="n">
        <v>22.03</v>
      </c>
      <c r="G20" s="17" t="n">
        <v>21.67</v>
      </c>
      <c r="H20" s="18" t="n">
        <f aca="false">F20+G20</f>
        <v>43.7</v>
      </c>
      <c r="I20" s="18" t="n">
        <f aca="false">E20*F20</f>
        <v>3965.4</v>
      </c>
      <c r="J20" s="18" t="n">
        <f aca="false">E20*G20</f>
        <v>3900.6</v>
      </c>
      <c r="K20" s="18" t="n">
        <f aca="false">I20+J20</f>
        <v>7866</v>
      </c>
      <c r="L20" s="18" t="n">
        <f aca="false">K20</f>
        <v>7866</v>
      </c>
      <c r="M20" s="18" t="n">
        <f aca="false">L20*(1+$J$2)</f>
        <v>10102.3038</v>
      </c>
    </row>
    <row r="21" customFormat="false" ht="21.75" hidden="false" customHeight="true" outlineLevel="0" collapsed="false">
      <c r="A21" s="19" t="s">
        <v>60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0" t="n">
        <f aca="false">SUM(L9:L20)</f>
        <v>28776.4352</v>
      </c>
      <c r="M21" s="20" t="n">
        <f aca="false">SUM(M9:M20)</f>
        <v>36957.57572736</v>
      </c>
    </row>
    <row r="23" customFormat="false" ht="15" hidden="false" customHeight="true" outlineLevel="0" collapsed="false">
      <c r="A23" s="21" t="s">
        <v>61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customFormat="false" ht="15" hidden="false" customHeight="true" outlineLevel="0" collapsed="false">
      <c r="A24" s="22" t="s">
        <v>62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customFormat="false" ht="15" hidden="false" customHeight="true" outlineLevel="0" collapsed="false">
      <c r="A25" s="22" t="s">
        <v>63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customFormat="false" ht="15" hidden="false" customHeight="true" outlineLevel="0" collapsed="false">
      <c r="A26" s="22" t="s">
        <v>64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customFormat="false" ht="15" hidden="false" customHeight="true" outlineLevel="0" collapsed="false">
      <c r="A27" s="22" t="s">
        <v>65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customFormat="false" ht="15" hidden="false" customHeight="true" outlineLevel="0" collapsed="false">
      <c r="A28" s="22" t="s">
        <v>66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customFormat="false" ht="15" hidden="false" customHeight="true" outlineLevel="0" collapsed="false">
      <c r="A29" s="22" t="s">
        <v>67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customFormat="false" ht="15" hidden="false" customHeight="true" outlineLevel="0" collapsed="false">
      <c r="A30" s="22" t="s">
        <v>68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</sheetData>
  <mergeCells count="25">
    <mergeCell ref="A1:M1"/>
    <mergeCell ref="B2:E2"/>
    <mergeCell ref="H2:I2"/>
    <mergeCell ref="K2:M2"/>
    <mergeCell ref="B3:E3"/>
    <mergeCell ref="B4:E4"/>
    <mergeCell ref="B5:E5"/>
    <mergeCell ref="A7:A8"/>
    <mergeCell ref="B7:B8"/>
    <mergeCell ref="C7:C8"/>
    <mergeCell ref="D7:D8"/>
    <mergeCell ref="E7:E8"/>
    <mergeCell ref="F7:H7"/>
    <mergeCell ref="I7:K7"/>
    <mergeCell ref="L7:L8"/>
    <mergeCell ref="M7:M8"/>
    <mergeCell ref="A21:K21"/>
    <mergeCell ref="A23:M23"/>
    <mergeCell ref="A24:M24"/>
    <mergeCell ref="A25:M25"/>
    <mergeCell ref="A26:M26"/>
    <mergeCell ref="A27:M27"/>
    <mergeCell ref="A28:M28"/>
    <mergeCell ref="A29:M29"/>
    <mergeCell ref="A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2026-06-20T15:47:50Z</dcterms:created>
  <dc:creator>openpyxl</dc:creator>
  <dc:description/>
  <dc:language>en-US</dc:language>
  <cp:lastModifiedBy/>
  <dcterms:modified xsi:type="dcterms:W3CDTF">2026-06-20T15:47:50Z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